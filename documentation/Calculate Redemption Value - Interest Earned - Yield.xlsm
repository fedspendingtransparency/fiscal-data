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rb.win.frb.org\J1\Accounts\D-F\j1asd02\Redirected\Desktop\FDG Data\Redemption_Tables\"/>
    </mc:Choice>
  </mc:AlternateContent>
  <xr:revisionPtr revIDLastSave="0" documentId="13_ncr:1_{E695F84D-1533-409F-941C-18F2AD06F06F}" xr6:coauthVersionLast="47" xr6:coauthVersionMax="47" xr10:uidLastSave="{00000000-0000-0000-0000-000000000000}"/>
  <bookViews>
    <workbookView xWindow="5340" yWindow="1980" windowWidth="21600" windowHeight="11265" xr2:uid="{C6B079E9-2A8E-4B1A-961C-6E71A392EF83}"/>
  </bookViews>
  <sheets>
    <sheet name="Results" sheetId="1" r:id="rId1"/>
    <sheet name="backend calculations" sheetId="2" state="hidden" r:id="rId2"/>
    <sheet name="Query2" sheetId="5" state="hidden" r:id="rId3"/>
    <sheet name="Invoked Function" sheetId="4" state="hidden" r:id="rId4"/>
    <sheet name="api request strings" sheetId="3" state="hidden" r:id="rId5"/>
  </sheets>
  <definedNames>
    <definedName name="apicall">'api request strings'!$C$6</definedName>
    <definedName name="ExternalData_1" localSheetId="3" hidden="1">'Invoked Function'!$A$1:$A$2</definedName>
    <definedName name="ExternalData_2" localSheetId="2" hidden="1">Query2!$A$1:$B$2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2" l="1"/>
  <c r="B10" i="1" l="1" a="1"/>
  <c r="B10" i="1" s="1"/>
  <c r="C5" i="3"/>
  <c r="D5" i="3" s="1"/>
  <c r="C3" i="3"/>
  <c r="D3" i="3" s="1"/>
  <c r="C1" i="3"/>
  <c r="D1" i="3" s="1"/>
  <c r="C2" i="3"/>
  <c r="C4" i="3"/>
  <c r="D4" i="3" l="1"/>
  <c r="C6" i="3" s="1"/>
  <c r="E4" i="3"/>
  <c r="D2" i="3"/>
  <c r="E2" i="3"/>
  <c r="L6" i="2" s="1"/>
  <c r="L2" i="2"/>
  <c r="B11" i="1"/>
  <c r="L3" i="2" l="1"/>
  <c r="L4" i="2" s="1"/>
  <c r="B1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2392F1-610E-4B44-9C30-63FEB7A46640}" keepAlive="1" name="Query - getvalue" description="Connection to the 'getvalue' query in the workbook." type="5" refreshedVersion="0" background="1">
    <dbPr connection="Provider=Microsoft.Mashup.OleDb.1;Data Source=$Workbook$;Location=getvalue;Extended Properties=&quot;&quot;" command="SELECT * FROM [getvalue]"/>
  </connection>
  <connection id="2" xr16:uid="{FB36E32E-5028-4275-BB0B-31AACD421C1F}" keepAlive="1" name="Query - Invoked Function" description="Connection to the 'Invoked Function' query in the workbook." type="5" refreshedVersion="8" background="1" saveData="1">
    <dbPr connection="Provider=Microsoft.Mashup.OleDb.1;Data Source=$Workbook$;Location=&quot;Invoked Function&quot;;Extended Properties=&quot;&quot;" command="SELECT * FROM [Invoked Function]"/>
  </connection>
  <connection id="3" xr16:uid="{8D2EB7C7-56AF-483B-B9E0-F47699AF70F2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<sst xmlns="http://schemas.openxmlformats.org/spreadsheetml/2006/main" count="87" uniqueCount="71">
  <si>
    <t>E</t>
  </si>
  <si>
    <t>N</t>
  </si>
  <si>
    <t>I</t>
  </si>
  <si>
    <t>EE</t>
  </si>
  <si>
    <t>Savings Note</t>
  </si>
  <si>
    <t>Bond Series (select one)</t>
  </si>
  <si>
    <t>Issue Month (select one)</t>
  </si>
  <si>
    <t>Issue Year (YYYY; 1941 - present)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</si>
  <si>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</si>
  <si>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</si>
  <si>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</si>
  <si>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</si>
  <si>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</si>
  <si>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</si>
  <si>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</si>
  <si>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</si>
  <si>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</si>
  <si>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</si>
  <si>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</si>
  <si>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</si>
  <si>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Redemption Year (YYYY; 1941 - present)</t>
  </si>
  <si>
    <t>Bond Denomination (in $25 increments)</t>
  </si>
  <si>
    <t>Bond Value at Redemption:</t>
  </si>
  <si>
    <t>Interest Earned at Redemption:</t>
  </si>
  <si>
    <t>Redemption Month</t>
  </si>
  <si>
    <t>Redemption mo numeric:</t>
  </si>
  <si>
    <t>Issue mo numeric:</t>
  </si>
  <si>
    <t>apifilter:</t>
  </si>
  <si>
    <t>issue year:</t>
  </si>
  <si>
    <t>Redemption year:</t>
  </si>
  <si>
    <t>Invoked Function</t>
  </si>
  <si>
    <t>Name</t>
  </si>
  <si>
    <t>Value</t>
  </si>
  <si>
    <t>Series</t>
  </si>
  <si>
    <t>S</t>
  </si>
  <si>
    <t xml:space="preserve">Press </t>
  </si>
  <si>
    <t>To Refresh</t>
  </si>
  <si>
    <t xml:space="preserve"> </t>
  </si>
  <si>
    <t>*YOU MUST REFRESH EACH TIME YOU CHANGE A FIELD OR YOU WILL GET FAULTY RESULTS</t>
  </si>
  <si>
    <t>Step 1: Identify your Bond Series Type, Issue Date, the Redemption Date, and the Denomination (in $25 increments) that you purchased)</t>
  </si>
  <si>
    <t>RESULTS</t>
  </si>
  <si>
    <t>Yield</t>
  </si>
  <si>
    <t>num months calc</t>
  </si>
  <si>
    <t>months in between years</t>
  </si>
  <si>
    <t>months last vs first</t>
  </si>
  <si>
    <t>total</t>
  </si>
  <si>
    <t>Bond type</t>
  </si>
  <si>
    <t>e</t>
  </si>
  <si>
    <t>Bond max accruals</t>
  </si>
  <si>
    <t>if issued before year</t>
  </si>
  <si>
    <t>if issued before month</t>
  </si>
  <si>
    <t>Can't be more than 360</t>
  </si>
  <si>
    <t>%</t>
  </si>
  <si>
    <t>Disclaimer</t>
  </si>
  <si>
    <t>The tool is also not sufficiently sophisticated to detect invalid bond denominations - be certain that you enter the correct denomination. Valid denominations are listed in the Reference Document.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</si>
  <si>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</si>
  <si>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</si>
  <si>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</si>
  <si>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</si>
  <si>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</si>
  <si>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</si>
  <si>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</si>
  <si>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</si>
  <si>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</si>
  <si>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add exception for e bonds from may 1941 to nov 1965</t>
  </si>
  <si>
    <t>Note the if works by using it as the max above - since 1965 is always going to use the 480 value, the if statement simplifies</t>
  </si>
  <si>
    <t>https://api.fiscaldata.treasury.gov/services/api/fiscal_service/v2/accounting/od/sb_value?filter=redemp_period:eq:2022-12,issue_year:eq:1995,series_cd:eq:N&amp;fields=issue_May_amt</t>
  </si>
  <si>
    <t>issue_may_amt</t>
  </si>
  <si>
    <t>28.45</t>
  </si>
  <si>
    <t>Use this tool at your own risk - the number of years for yield maturity is assumed to be 30 for all bonds except older E bonds issued prior to Dec. 1965. The number of years for those is 40.</t>
  </si>
  <si>
    <t>Interest earnings expressed as a percentage on accrual savings bond from issue month/year to redemption month/year.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</si>
</sst>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1"/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8" fontId="4" fillId="0" borderId="1" xfId="0" applyNumberFormat="1" applyFont="1" applyBorder="1" applyAlignment="1">
      <alignment horizontal="center"/>
    </xf>
    <xf numFmtId="8" fontId="4" fillId="0" borderId="2" xfId="0" applyNumberFormat="1" applyFont="1" applyBorder="1" applyAlignment="1">
      <alignment horizontal="center"/>
    </xf>
    <xf numFmtId="8" fontId="4" fillId="0" borderId="3" xfId="0" applyNumberFormat="1" applyFont="1" applyBorder="1" applyAlignment="1">
      <alignment horizontal="center"/>
    </xf>
    <xf numFmtId="22" fontId="0" fillId="0" borderId="0" xfId="0" applyNumberFormat="1"/>
    <xf numFmtId="0" fontId="2" fillId="0" borderId="0" xfId="1" applyNumberFormat="1"/>
    <xf numFmtId="0" fontId="0" fillId="0" borderId="0" xfId="0" applyProtection="1">
      <protection locked="0"/>
    </xf>
    <xf numFmtId="0" fontId="3" fillId="0" borderId="0" xfId="0" applyFont="1"/>
    <xf numFmtId="0" fontId="0" fillId="3" borderId="0" xfId="0" applyFill="1"/>
    <xf numFmtId="0" fontId="3" fillId="3" borderId="0" xfId="0" applyFont="1" applyFill="1"/>
    <xf numFmtId="0" fontId="0" fillId="2" borderId="0" xfId="0" applyFill="1"/>
    <xf numFmtId="49" fontId="0" fillId="0" borderId="0" xfId="0" applyNumberFormat="1"/>
    <xf numFmtId="2" fontId="0" fillId="2" borderId="0" xfId="0" applyNumberFormat="1" applyFill="1"/>
  </cellXfs>
  <cellStyles count="2">
    <cellStyle name="Hyperlink" xfId="1" builtinId="8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133351</xdr:colOff>
      <xdr:row>7</xdr:row>
      <xdr:rowOff>19050</xdr:rowOff>
    </xdr:from>
    <xdr:to>
      <xdr:col>1</xdr:col>
      <xdr:colOff>533400</xdr:colOff>
      <xdr:row>9</xdr:row>
      <xdr:rowOff>19050</xdr:rowOff>
    </xdr:to>
    <xdr:pic macro="[0]!Graphic2_Click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16952ED9-47C3-4A2C-AC28-28F0DC23B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57451" y="1352550"/>
          <a:ext cx="400049" cy="3714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D9475722-40A5-408E-AE8E-B895E31FD728}" autoFormatId="16" applyNumberFormats="0" applyBorderFormats="0" applyFontFormats="0" applyPatternFormats="0" applyAlignmentFormats="0" applyWidthHeightFormats="0">
  <queryTableRefresh nextId="6">
    <queryTableFields count="2">
      <queryTableField id="4" name="Name" tableColumnId="4"/>
      <queryTableField id="5" name="Valu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9DCECF1-8C90-4236-A1D8-866F9541FB25}" autoFormatId="16" applyNumberFormats="0" applyBorderFormats="0" applyFontFormats="0" applyPatternFormats="0" applyAlignmentFormats="0" applyWidthHeightFormats="0">
  <queryTableRefresh nextId="2">
    <queryTableFields count="1">
      <queryTableField id="1" name="Invoked Function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A55691-ABE9-4711-B1F6-6F91BC5C4178}" name="Query2" displayName="Query2" ref="A1:B2" tableType="queryTable" totalsRowShown="0" dataCellStyle="Hyperlink">
  <autoFilter ref="A1:B2" xr:uid="{A4A55691-ABE9-4711-B1F6-6F91BC5C4178}"/>
  <tableColumns count="2">
    <tableColumn id="4" xr3:uid="{95A77A72-8055-410A-B751-C0A7B7AF68BA}" uniqueName="4" name="Name" queryTableFieldId="4" dataCellStyle="Hyperlink"/>
    <tableColumn id="5" xr3:uid="{45E1EC6D-5A20-4599-A35A-E35B0FA4A506}" uniqueName="5" name="Value" queryTableFieldId="5" dataCellStyle="Hyperlink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C415A1-3DE7-4769-8D88-A22B84A69865}" name="Invoked_Function" displayName="Invoked_Function" ref="A1:A2" tableType="queryTable" totalsRowShown="0" dataCellStyle="Hyperlink">
  <autoFilter ref="A1:A2" xr:uid="{88C415A1-3DE7-4769-8D88-A22B84A69865}"/>
  <tableColumns count="1">
    <tableColumn id="1" xr3:uid="{534E6B1B-124A-4493-A2BF-4C3066C0D3C9}" uniqueName="1" name="Invoked Function" queryTableFieldId="1" dataDxfId="0" dataCellStyle="Hyperlink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9AF4A-648B-42DA-B9C1-A3CD21CA5CD2}">
  <sheetPr codeName="Sheet1"/>
  <dimension ref="A1:D15"/>
  <sheetViews>
    <sheetView tabSelected="1" workbookViewId="0"/>
  </sheetViews>
  <sheetFormatPr defaultRowHeight="15" x14ac:dyDescent="0.25"/>
  <cols>
    <col min="1" max="1" width="34.85546875" style="12" customWidth="1"/>
    <col min="4" max="4" width="15.85546875" bestFit="1" customWidth="1"/>
  </cols>
  <sheetData>
    <row r="1" spans="1:4" x14ac:dyDescent="0.25">
      <c r="A1" s="12" t="s">
        <v>39</v>
      </c>
    </row>
    <row r="2" spans="1:4" x14ac:dyDescent="0.25">
      <c r="A2" s="13" t="s">
        <v>5</v>
      </c>
      <c r="B2" s="10" t="s">
        <v>3</v>
      </c>
    </row>
    <row r="3" spans="1:4" x14ac:dyDescent="0.25">
      <c r="A3" s="13" t="s">
        <v>7</v>
      </c>
      <c r="B3" s="10">
        <v>1995</v>
      </c>
    </row>
    <row r="4" spans="1:4" x14ac:dyDescent="0.25">
      <c r="A4" s="13" t="s">
        <v>6</v>
      </c>
      <c r="B4" s="10" t="s">
        <v>12</v>
      </c>
    </row>
    <row r="5" spans="1:4" x14ac:dyDescent="0.25">
      <c r="A5" s="13" t="s">
        <v>20</v>
      </c>
      <c r="B5" s="10">
        <v>2022</v>
      </c>
    </row>
    <row r="6" spans="1:4" x14ac:dyDescent="0.25">
      <c r="A6" s="13" t="s">
        <v>24</v>
      </c>
      <c r="B6" s="10" t="s">
        <v>19</v>
      </c>
    </row>
    <row r="7" spans="1:4" x14ac:dyDescent="0.25">
      <c r="A7" s="13" t="s">
        <v>21</v>
      </c>
      <c r="B7" s="10">
        <v>500</v>
      </c>
      <c r="C7" t="s">
        <v>37</v>
      </c>
      <c r="D7" s="8"/>
    </row>
    <row r="8" spans="1:4" x14ac:dyDescent="0.25">
      <c r="C8" s="11" t="s">
        <v>35</v>
      </c>
      <c r="D8" s="11" t="s">
        <v>38</v>
      </c>
    </row>
    <row r="9" spans="1:4" x14ac:dyDescent="0.25">
      <c r="A9" s="13" t="s">
        <v>40</v>
      </c>
      <c r="C9" s="11" t="s">
        <v>36</v>
      </c>
      <c r="D9" s="11"/>
    </row>
    <row r="10" spans="1:4" x14ac:dyDescent="0.25">
      <c r="A10" s="13" t="s">
        <v>22</v>
      </c>
      <c r="B10" s="14" cm="1">
        <f t="array" ref="B10">Query2[Value]*'backend calculations'!F1</f>
        <v>569</v>
      </c>
    </row>
    <row r="11" spans="1:4" x14ac:dyDescent="0.25">
      <c r="A11" s="13" t="s">
        <v>23</v>
      </c>
      <c r="B11" s="14">
        <f>B10-(VLOOKUP(VLOOKUP(B2,'backend calculations'!G1:H4,2,FALSE),'backend calculations'!H1:I4,2,FALSE)*'backend calculations'!F1)</f>
        <v>319</v>
      </c>
    </row>
    <row r="12" spans="1:4" x14ac:dyDescent="0.25">
      <c r="A12" s="13" t="s">
        <v>41</v>
      </c>
      <c r="B12" s="16">
        <f>(((B10/(B10-B11))^(1/('backend calculations'!L4/6))-1)*2)*100</f>
        <v>3.0039167493169483</v>
      </c>
      <c r="C12" s="14" t="s">
        <v>52</v>
      </c>
      <c r="D12" t="s">
        <v>70</v>
      </c>
    </row>
    <row r="14" spans="1:4" x14ac:dyDescent="0.25">
      <c r="A14" s="13" t="s">
        <v>53</v>
      </c>
      <c r="B14" t="s">
        <v>69</v>
      </c>
    </row>
    <row r="15" spans="1:4" x14ac:dyDescent="0.25">
      <c r="B15" t="s">
        <v>54</v>
      </c>
    </row>
  </sheetData>
  <sheetProtection algorithmName="SHA-512" hashValue="xw4a8KCM3797u+zgNqK9gw5y+4KRQ6D7hna8BBD/Rmy96im9tkHkj9S05UI4zGe9s9R08vt7iX3vC/YChy4QPg==" saltValue="V2z4mlB/KLAqo/PJcoK3MA==" spinCount="100000" sheet="1" objects="1" scenarios="1"/>
  <dataValidations count="1">
    <dataValidation type="custom" allowBlank="1" showInputMessage="1" showErrorMessage="1" sqref="B3 B5" xr:uid="{CAF7785A-18E7-4133-8B7D-EBC45762B604}">
      <formula1>B3&lt;=YEAR(TODAY())</formula1>
    </dataValidation>
  </dataValidations>
  <pageMargins left="0.7" right="0.7" top="0.75" bottom="0.75" header="0.3" footer="0.3"/>
  <pageSetup orientation="portrait" horizontalDpi="1200" verticalDpi="1200" r:id="rId1"/>
  <headerFooter>
    <oddHeader>&amp;L&amp;"Calibri"&amp;11&amp;K000000TREASURY UNCLASSIFIED // EXTERNAL&amp;1#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BFF6452-689B-44BD-9DB2-219E7A991C69}">
          <x14:formula1>
            <xm:f>'backend calculations'!$C$1:$C$12</xm:f>
          </x14:formula1>
          <xm:sqref>B6</xm:sqref>
        </x14:dataValidation>
        <x14:dataValidation type="list" allowBlank="1" showInputMessage="1" showErrorMessage="1" xr:uid="{AFB83EC5-9E62-4026-B112-B05849C43D3A}">
          <x14:formula1>
            <xm:f>'backend calculations'!A1:A4</xm:f>
          </x14:formula1>
          <xm:sqref>B2</xm:sqref>
        </x14:dataValidation>
        <x14:dataValidation type="list" allowBlank="1" showInputMessage="1" showErrorMessage="1" xr:uid="{39E2E065-AFFB-40A4-86BD-12062FFA16D4}">
          <x14:formula1>
            <xm:f>'backend calculations'!C1:C12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9727E-FF40-4263-A8F0-C97D90716D6C}">
  <sheetPr codeName="Sheet2"/>
  <dimension ref="A1:R12"/>
  <sheetViews>
    <sheetView workbookViewId="0"/>
  </sheetViews>
  <sheetFormatPr defaultRowHeight="15" x14ac:dyDescent="0.25"/>
  <cols>
    <col min="5" max="5" width="8.85546875"/>
    <col min="11" max="11" width="23.85546875" bestFit="1" customWidth="1"/>
    <col min="16" max="16" width="15" bestFit="1" customWidth="1"/>
    <col min="17" max="17" width="15" customWidth="1"/>
  </cols>
  <sheetData>
    <row r="1" spans="1:18" x14ac:dyDescent="0.25">
      <c r="A1" t="s">
        <v>0</v>
      </c>
      <c r="B1">
        <v>1941</v>
      </c>
      <c r="C1" t="s">
        <v>8</v>
      </c>
      <c r="D1" s="15" t="s">
        <v>55</v>
      </c>
      <c r="E1">
        <v>1</v>
      </c>
      <c r="F1">
        <f>Results!B7/25</f>
        <v>20</v>
      </c>
      <c r="G1" t="s">
        <v>2</v>
      </c>
      <c r="H1" s="3" t="s">
        <v>2</v>
      </c>
      <c r="I1" s="5">
        <v>25</v>
      </c>
      <c r="K1" t="s">
        <v>42</v>
      </c>
      <c r="O1" t="s">
        <v>48</v>
      </c>
      <c r="P1" t="s">
        <v>49</v>
      </c>
      <c r="Q1" t="s">
        <v>50</v>
      </c>
      <c r="R1" t="s">
        <v>46</v>
      </c>
    </row>
    <row r="2" spans="1:18" x14ac:dyDescent="0.25">
      <c r="A2" t="s">
        <v>3</v>
      </c>
      <c r="C2" t="s">
        <v>9</v>
      </c>
      <c r="D2" s="15" t="s">
        <v>56</v>
      </c>
      <c r="E2">
        <v>2</v>
      </c>
      <c r="G2" t="s">
        <v>3</v>
      </c>
      <c r="H2" s="2" t="s">
        <v>1</v>
      </c>
      <c r="I2" s="6">
        <v>12.5</v>
      </c>
      <c r="K2" t="s">
        <v>43</v>
      </c>
      <c r="L2">
        <f>(('api request strings'!D3)-('api request strings'!D1))*12</f>
        <v>324</v>
      </c>
      <c r="P2">
        <v>1952</v>
      </c>
      <c r="Q2" t="s">
        <v>11</v>
      </c>
      <c r="R2" t="s">
        <v>47</v>
      </c>
    </row>
    <row r="3" spans="1:18" x14ac:dyDescent="0.25">
      <c r="A3" t="s">
        <v>2</v>
      </c>
      <c r="C3" t="s">
        <v>10</v>
      </c>
      <c r="D3" s="15" t="s">
        <v>57</v>
      </c>
      <c r="E3">
        <v>3</v>
      </c>
      <c r="G3" t="s">
        <v>0</v>
      </c>
      <c r="H3" s="2" t="s">
        <v>0</v>
      </c>
      <c r="I3" s="6">
        <v>18.75</v>
      </c>
      <c r="K3" t="s">
        <v>44</v>
      </c>
      <c r="L3">
        <f>'api request strings'!D4-'api request strings'!D2</f>
        <v>7</v>
      </c>
      <c r="P3">
        <v>1957</v>
      </c>
      <c r="Q3" t="s">
        <v>8</v>
      </c>
      <c r="R3" t="s">
        <v>47</v>
      </c>
    </row>
    <row r="4" spans="1:18" x14ac:dyDescent="0.25">
      <c r="A4" t="s">
        <v>4</v>
      </c>
      <c r="C4" t="s">
        <v>11</v>
      </c>
      <c r="D4" s="15" t="s">
        <v>58</v>
      </c>
      <c r="E4">
        <v>4</v>
      </c>
      <c r="G4" t="s">
        <v>4</v>
      </c>
      <c r="H4" s="4" t="s">
        <v>34</v>
      </c>
      <c r="I4" s="7">
        <v>20.25</v>
      </c>
      <c r="K4" t="s">
        <v>45</v>
      </c>
      <c r="L4">
        <f>IF((L2+L3)&gt;359,L6,(L2+L3))</f>
        <v>331</v>
      </c>
      <c r="M4" t="s">
        <v>51</v>
      </c>
      <c r="P4">
        <v>1959</v>
      </c>
      <c r="Q4" t="s">
        <v>12</v>
      </c>
      <c r="R4" t="s">
        <v>47</v>
      </c>
    </row>
    <row r="5" spans="1:18" x14ac:dyDescent="0.25">
      <c r="C5" t="s">
        <v>12</v>
      </c>
      <c r="D5" s="15" t="s">
        <v>59</v>
      </c>
      <c r="E5">
        <v>5</v>
      </c>
      <c r="H5" s="2"/>
      <c r="P5">
        <v>1965</v>
      </c>
      <c r="Q5" t="s">
        <v>18</v>
      </c>
      <c r="R5" t="s">
        <v>47</v>
      </c>
    </row>
    <row r="6" spans="1:18" x14ac:dyDescent="0.25">
      <c r="C6" t="s">
        <v>13</v>
      </c>
      <c r="D6" s="15" t="s">
        <v>60</v>
      </c>
      <c r="E6">
        <v>6</v>
      </c>
      <c r="K6" t="s">
        <v>64</v>
      </c>
      <c r="L6">
        <f>IF(OR(AND('api request strings'!D1=1941,'api request strings'!E2&gt;2),AND('api request strings'!D1&gt;1941,'api request strings'!D1&lt;1965),AND('api request strings'!D1=1965,'api request strings'!E2&lt;12)),12*40,12*30)</f>
        <v>360</v>
      </c>
      <c r="M6" t="s">
        <v>65</v>
      </c>
    </row>
    <row r="7" spans="1:18" x14ac:dyDescent="0.25">
      <c r="C7" t="s">
        <v>14</v>
      </c>
      <c r="D7" s="15" t="s">
        <v>61</v>
      </c>
      <c r="E7">
        <v>7</v>
      </c>
    </row>
    <row r="8" spans="1:18" x14ac:dyDescent="0.25">
      <c r="C8" t="s">
        <v>15</v>
      </c>
      <c r="D8" s="15" t="s">
        <v>62</v>
      </c>
      <c r="E8">
        <v>8</v>
      </c>
    </row>
    <row r="9" spans="1:18" x14ac:dyDescent="0.25">
      <c r="C9" t="s">
        <v>16</v>
      </c>
      <c r="D9" s="15" t="s">
        <v>63</v>
      </c>
      <c r="E9">
        <v>9</v>
      </c>
    </row>
    <row r="10" spans="1:18" x14ac:dyDescent="0.25">
      <c r="C10" t="s">
        <v>17</v>
      </c>
      <c r="D10">
        <v>10</v>
      </c>
      <c r="E10">
        <v>10</v>
      </c>
    </row>
    <row r="11" spans="1:18" x14ac:dyDescent="0.25">
      <c r="C11" t="s">
        <v>18</v>
      </c>
      <c r="D11">
        <v>11</v>
      </c>
      <c r="E11">
        <v>11</v>
      </c>
    </row>
    <row r="12" spans="1:18" x14ac:dyDescent="0.25">
      <c r="C12" t="s">
        <v>19</v>
      </c>
      <c r="D12">
        <v>12</v>
      </c>
      <c r="E12">
        <v>12</v>
      </c>
    </row>
  </sheetData>
  <phoneticPr fontId="1" type="noConversion"/>
  <pageMargins left="0.7" right="0.7" top="0.75" bottom="0.75" header="0.3" footer="0.3"/>
  <pageSetup orientation="portrait" horizontalDpi="1200" verticalDpi="1200" r:id="rId1"/>
  <headerFooter>
    <oddHeader>&amp;L&amp;"Calibri"&amp;11&amp;K000000TREASURY UNCLASSIFIED // EXTERNAL&amp;1#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17C2-1914-4934-9D47-D8329327B467}">
  <sheetPr codeName="Sheet3"/>
  <dimension ref="A1:B2"/>
  <sheetViews>
    <sheetView workbookViewId="0"/>
  </sheetViews>
  <sheetFormatPr defaultRowHeight="15" x14ac:dyDescent="0.25"/>
  <cols>
    <col min="1" max="1" width="14.85546875" bestFit="1" customWidth="1"/>
    <col min="2" max="2" width="8.42578125" bestFit="1" customWidth="1"/>
    <col min="3" max="3" width="81.140625" bestFit="1" customWidth="1"/>
    <col min="4" max="5" width="48.42578125" bestFit="1" customWidth="1"/>
  </cols>
  <sheetData>
    <row r="1" spans="1:2" x14ac:dyDescent="0.25">
      <c r="A1" t="s">
        <v>31</v>
      </c>
      <c r="B1" t="s">
        <v>32</v>
      </c>
    </row>
    <row r="2" spans="1:2" x14ac:dyDescent="0.25">
      <c r="A2" s="1" t="s">
        <v>67</v>
      </c>
      <c r="B2" s="1" t="s">
        <v>68</v>
      </c>
    </row>
  </sheetData>
  <pageMargins left="0.7" right="0.7" top="0.75" bottom="0.75" header="0.3" footer="0.3"/>
  <pageSetup orientation="portrait" horizontalDpi="1200" verticalDpi="1200" r:id="rId1"/>
  <headerFooter>
    <oddHeader>&amp;L&amp;"Calibri"&amp;11&amp;K000000TREASURY UNCLASSIFIED // EXTERNAL&amp;1#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1B88B-D341-437C-B6A9-9234EACB50E8}">
  <sheetPr codeName="Sheet4"/>
  <dimension ref="A1:A2"/>
  <sheetViews>
    <sheetView workbookViewId="0"/>
  </sheetViews>
  <sheetFormatPr defaultRowHeight="15" x14ac:dyDescent="0.25"/>
  <cols>
    <col min="1" max="1" width="81.140625" bestFit="1" customWidth="1"/>
  </cols>
  <sheetData>
    <row r="1" spans="1:1" x14ac:dyDescent="0.25">
      <c r="A1" t="s">
        <v>30</v>
      </c>
    </row>
    <row r="2" spans="1:1" x14ac:dyDescent="0.25">
      <c r="A2" s="9" t="s">
        <v>66</v>
      </c>
    </row>
  </sheetData>
  <pageMargins left="0.7" right="0.7" top="0.75" bottom="0.75" header="0.3" footer="0.3"/>
  <pageSetup orientation="portrait" horizontalDpi="1200" verticalDpi="1200" r:id="rId1"/>
  <headerFooter>
    <oddHeader>&amp;L&amp;"Calibri"&amp;11&amp;K000000TREASURY UNCLASSIFIED // EXTERNAL&amp;1#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C3C59-C46F-44ED-A099-255F63CD1E96}">
  <sheetPr codeName="Sheet5"/>
  <dimension ref="A1:E6"/>
  <sheetViews>
    <sheetView workbookViewId="0"/>
  </sheetViews>
  <sheetFormatPr defaultRowHeight="15" x14ac:dyDescent="0.25"/>
  <cols>
    <col min="1" max="1" width="22.85546875" bestFit="1" customWidth="1"/>
  </cols>
  <sheetData>
    <row r="1" spans="1:5" x14ac:dyDescent="0.25">
      <c r="A1" t="s">
        <v>28</v>
      </c>
      <c r="C1">
        <f>Results!B3</f>
        <v>1995</v>
      </c>
      <c r="D1">
        <f>C1</f>
        <v>1995</v>
      </c>
    </row>
    <row r="2" spans="1:5" x14ac:dyDescent="0.25">
      <c r="A2" t="s">
        <v>26</v>
      </c>
      <c r="C2" t="str">
        <f>Results!B4</f>
        <v>May</v>
      </c>
      <c r="D2" t="str">
        <f>VLOOKUP(C2,'backend calculations'!C1:D12,2,FALSE)</f>
        <v>05</v>
      </c>
      <c r="E2">
        <f>VLOOKUP(C2,'backend calculations'!C1:E12,3,FALSE)</f>
        <v>5</v>
      </c>
    </row>
    <row r="3" spans="1:5" x14ac:dyDescent="0.25">
      <c r="A3" t="s">
        <v>29</v>
      </c>
      <c r="C3">
        <f>Results!B5</f>
        <v>2022</v>
      </c>
      <c r="D3">
        <f>C3</f>
        <v>2022</v>
      </c>
    </row>
    <row r="4" spans="1:5" x14ac:dyDescent="0.25">
      <c r="A4" t="s">
        <v>25</v>
      </c>
      <c r="C4" t="str">
        <f>Results!B6</f>
        <v>Dec</v>
      </c>
      <c r="D4">
        <f>VLOOKUP(C4,'backend calculations'!C1:D12,2,FALSE)</f>
        <v>12</v>
      </c>
      <c r="E4">
        <f>VLOOKUP(C4,'backend calculations'!C1:E12,3,FALSE)</f>
        <v>12</v>
      </c>
    </row>
    <row r="5" spans="1:5" x14ac:dyDescent="0.25">
      <c r="A5" t="s">
        <v>33</v>
      </c>
      <c r="C5" t="str">
        <f>Results!B2</f>
        <v>EE</v>
      </c>
      <c r="D5" t="str">
        <f>VLOOKUP(C5,'backend calculations'!G1:H4,2,FALSE)</f>
        <v>N</v>
      </c>
    </row>
    <row r="6" spans="1:5" x14ac:dyDescent="0.25">
      <c r="A6" t="s">
        <v>27</v>
      </c>
      <c r="C6" t="str">
        <f>_xlfn.CONCAT("https://api.fiscaldata.treasury.gov/services/api/fiscal_service/v2/accounting/od/sb_value?filter=redemp_period:eq:",D3,"-",D4,",issue_year:eq:",D1,",series_cd:eq:",D5,"&amp;fields=issue_",C2,"_amt")</f>
        <v>https://api.fiscaldata.treasury.gov/services/api/fiscal_service/v2/accounting/od/sb_value?filter=redemp_period:eq:2022-12,issue_year:eq:1995,series_cd:eq:N&amp;fields=issue_May_amt</v>
      </c>
    </row>
  </sheetData>
  <sheetProtection algorithmName="SHA-512" hashValue="0gTDcS6VDOrjS3TVEG5jB5iAuHM87SSrE9HACUSS+vduw93zOxaBioLjhbRhL8i3BwVutpi1PgeTCw4jpeWp0w==" saltValue="oY3UnYnnIPf0ZTj+UbSZ4w==" spinCount="100000" sheet="1" objects="1" scenarios="1"/>
  <pageMargins left="0.7" right="0.7" top="0.75" bottom="0.75" header="0.3" footer="0.3"/>
  <pageSetup orientation="portrait" horizontalDpi="1200" verticalDpi="1200" r:id="rId1"/>
  <headerFooter>
    <oddHeader>&amp;L&amp;"Calibri"&amp;11&amp;K000000TREASURY UNCLASSIFIED // EXTERNAL&amp;1#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F80D53-CE30-4085-857D-3409BDC2D2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Results</vt:lpstr>
      <vt:lpstr>backend calculations</vt:lpstr>
      <vt:lpstr>Query2</vt:lpstr>
      <vt:lpstr>Invoked Function</vt:lpstr>
      <vt:lpstr>api request strings</vt:lpstr>
      <vt:lpstr>apicall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 R. Pace</dc:creator>
  <cp:lastModifiedBy>Doerr, Andy</cp:lastModifiedBy>
  <dcterms:created xsi:type="dcterms:W3CDTF">2022-12-20T14:48:47Z</dcterms:created>
  <dcterms:modified xsi:type="dcterms:W3CDTF">2023-03-21T15:55:32Z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2b54165-b7ec-4431-99fc-6412c34949e9_Enabled">
    <vt:lpwstr>true</vt:lpwstr>
  </property>
  <property fmtid="{D5CDD505-2E9C-101B-9397-08002B2CF9AE}" pid="3" name="MSIP_Label_e2b54165-b7ec-4431-99fc-6412c34949e9_SetDate">
    <vt:lpwstr>2023-03-21T15:55:32Z</vt:lpwstr>
  </property>
  <property fmtid="{D5CDD505-2E9C-101B-9397-08002B2CF9AE}" pid="4" name="MSIP_Label_e2b54165-b7ec-4431-99fc-6412c34949e9_Method">
    <vt:lpwstr>Privileged</vt:lpwstr>
  </property>
  <property fmtid="{D5CDD505-2E9C-101B-9397-08002B2CF9AE}" pid="5" name="MSIP_Label_e2b54165-b7ec-4431-99fc-6412c34949e9_Name">
    <vt:lpwstr>e2b54165-b7ec-4431-99fc-6412c34949e9</vt:lpwstr>
  </property>
  <property fmtid="{D5CDD505-2E9C-101B-9397-08002B2CF9AE}" pid="6" name="MSIP_Label_e2b54165-b7ec-4431-99fc-6412c34949e9_SiteId">
    <vt:lpwstr>b397c653-5b19-463f-b9fc-af658ded9128</vt:lpwstr>
  </property>
  <property fmtid="{D5CDD505-2E9C-101B-9397-08002B2CF9AE}" pid="7" name="MSIP_Label_e2b54165-b7ec-4431-99fc-6412c34949e9_ActionId">
    <vt:lpwstr>2da22bff-69ae-4594-9d24-4d38637f4a1c</vt:lpwstr>
  </property>
  <property fmtid="{D5CDD505-2E9C-101B-9397-08002B2CF9AE}" pid="8" name="MSIP_Label_e2b54165-b7ec-4431-99fc-6412c34949e9_ContentBits">
    <vt:lpwstr>1</vt:lpwstr>
  </property>
</Properties>
</file>